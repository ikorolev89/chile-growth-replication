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korolev/Documents/Stanford/Research_Ideas/Chile/Code_2025/"/>
    </mc:Choice>
  </mc:AlternateContent>
  <xr:revisionPtr revIDLastSave="0" documentId="13_ncr:1_{2255BD7F-7EB2-6845-BBD6-962D45AA5CE7}" xr6:coauthVersionLast="47" xr6:coauthVersionMax="47" xr10:uidLastSave="{00000000-0000-0000-0000-000000000000}"/>
  <bookViews>
    <workbookView xWindow="4920" yWindow="3640" windowWidth="27640" windowHeight="16940" xr2:uid="{C43A3A86-E57D-AC42-BBDB-5696F0F3AD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" i="1" l="1"/>
  <c r="M39" i="1"/>
  <c r="J39" i="1"/>
  <c r="H39" i="1"/>
  <c r="E39" i="1"/>
  <c r="C39" i="1"/>
  <c r="O38" i="1"/>
  <c r="M38" i="1"/>
  <c r="J38" i="1"/>
  <c r="H38" i="1"/>
  <c r="E38" i="1"/>
  <c r="C38" i="1"/>
  <c r="O37" i="1"/>
  <c r="M37" i="1"/>
  <c r="J37" i="1"/>
  <c r="H37" i="1"/>
  <c r="E37" i="1"/>
  <c r="C37" i="1"/>
  <c r="O33" i="1"/>
  <c r="M33" i="1"/>
  <c r="J33" i="1"/>
  <c r="H33" i="1"/>
  <c r="E33" i="1"/>
  <c r="C33" i="1"/>
  <c r="O32" i="1"/>
  <c r="M32" i="1"/>
  <c r="J32" i="1"/>
  <c r="H32" i="1"/>
  <c r="E32" i="1"/>
  <c r="C32" i="1"/>
  <c r="O31" i="1"/>
  <c r="M31" i="1"/>
  <c r="J31" i="1"/>
  <c r="H31" i="1"/>
  <c r="E31" i="1"/>
  <c r="C31" i="1"/>
  <c r="O27" i="1"/>
  <c r="O26" i="1"/>
  <c r="O25" i="1"/>
  <c r="M27" i="1"/>
  <c r="M26" i="1"/>
  <c r="M25" i="1"/>
  <c r="J27" i="1"/>
  <c r="J26" i="1"/>
  <c r="J25" i="1"/>
  <c r="H27" i="1"/>
  <c r="H26" i="1"/>
  <c r="H25" i="1"/>
  <c r="E27" i="1"/>
  <c r="E26" i="1"/>
  <c r="E25" i="1"/>
  <c r="C26" i="1"/>
  <c r="C27" i="1"/>
  <c r="C25" i="1"/>
</calcChain>
</file>

<file path=xl/sharedStrings.xml><?xml version="1.0" encoding="utf-8"?>
<sst xmlns="http://schemas.openxmlformats.org/spreadsheetml/2006/main" count="296" uniqueCount="10">
  <si>
    <t>WB</t>
  </si>
  <si>
    <t>Maddison</t>
  </si>
  <si>
    <t>SCM</t>
  </si>
  <si>
    <t>GSYNTH</t>
  </si>
  <si>
    <t>CI</t>
  </si>
  <si>
    <t>1988 long</t>
  </si>
  <si>
    <t>1988 short</t>
  </si>
  <si>
    <t>&amp;</t>
  </si>
  <si>
    <t>\\</t>
  </si>
  <si>
    <t>BSTSM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</si>
</sst>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0" borderId="0" xfId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8077-31F3-F443-B524-074A5B3B2C63}">
  <dimension ref="A1:P39"/>
  <sheetViews>
    <sheetView tabSelected="1" topLeftCell="A14" workbookViewId="0">
      <selection activeCell="P39" sqref="A37:P39"/>
    </sheetView>
  </sheetViews>
  <sheetFormatPr baseColWidth="10" defaultRowHeight="16" x14ac:dyDescent="0.2"/>
  <sheetData>
    <row r="1" spans="1:16" x14ac:dyDescent="0.2">
      <c r="B1" t="s">
        <v>7</v>
      </c>
      <c r="C1">
        <v>1973</v>
      </c>
      <c r="D1" t="s">
        <v>7</v>
      </c>
      <c r="G1" t="s">
        <v>7</v>
      </c>
      <c r="H1" t="s">
        <v>6</v>
      </c>
      <c r="I1" t="s">
        <v>7</v>
      </c>
      <c r="K1" t="s">
        <v>7</v>
      </c>
      <c r="M1" t="s">
        <v>5</v>
      </c>
      <c r="N1" t="s">
        <v>7</v>
      </c>
      <c r="P1" s="2" t="s">
        <v>8</v>
      </c>
    </row>
    <row r="2" spans="1:16" x14ac:dyDescent="0.2">
      <c r="B2" t="s">
        <v>7</v>
      </c>
      <c r="C2" t="s">
        <v>0</v>
      </c>
      <c r="D2" t="s">
        <v>7</v>
      </c>
      <c r="E2" t="s">
        <v>1</v>
      </c>
      <c r="G2" t="s">
        <v>7</v>
      </c>
      <c r="H2" t="s">
        <v>0</v>
      </c>
      <c r="I2" t="s">
        <v>7</v>
      </c>
      <c r="J2" t="s">
        <v>1</v>
      </c>
      <c r="K2" t="s">
        <v>7</v>
      </c>
      <c r="M2" t="s">
        <v>0</v>
      </c>
      <c r="N2" t="s">
        <v>7</v>
      </c>
      <c r="O2" t="s">
        <v>1</v>
      </c>
      <c r="P2" s="2" t="s">
        <v>8</v>
      </c>
    </row>
    <row r="3" spans="1:16" x14ac:dyDescent="0.2">
      <c r="A3" t="s">
        <v>2</v>
      </c>
      <c r="B3" t="s">
        <v>7</v>
      </c>
      <c r="C3" s="1">
        <v>2.920029E-2</v>
      </c>
      <c r="D3" t="s">
        <v>7</v>
      </c>
      <c r="E3" s="1">
        <v>2.1719840000000001E-2</v>
      </c>
      <c r="G3" t="s">
        <v>7</v>
      </c>
      <c r="H3" s="1">
        <v>4.1242389999999997E-2</v>
      </c>
      <c r="I3" t="s">
        <v>7</v>
      </c>
      <c r="J3" s="1">
        <v>2.8470639999999998E-2</v>
      </c>
      <c r="K3" t="s">
        <v>7</v>
      </c>
      <c r="M3" s="1">
        <v>4.6046240000000002E-2</v>
      </c>
      <c r="N3" t="s">
        <v>7</v>
      </c>
      <c r="O3" s="1">
        <v>3.186021E-2</v>
      </c>
      <c r="P3" s="2" t="s">
        <v>8</v>
      </c>
    </row>
    <row r="4" spans="1:16" x14ac:dyDescent="0.2">
      <c r="A4" t="s">
        <v>3</v>
      </c>
      <c r="B4" t="s">
        <v>7</v>
      </c>
      <c r="C4" s="1">
        <v>0.10184319999999999</v>
      </c>
      <c r="D4" t="s">
        <v>7</v>
      </c>
      <c r="E4" s="1">
        <v>6.3503580000000004E-2</v>
      </c>
      <c r="G4" t="s">
        <v>7</v>
      </c>
      <c r="H4" s="1">
        <v>6.6311949999999995E-2</v>
      </c>
      <c r="I4" t="s">
        <v>7</v>
      </c>
      <c r="J4" s="1">
        <v>8.0578060000000007E-2</v>
      </c>
      <c r="K4" t="s">
        <v>7</v>
      </c>
      <c r="M4" s="1">
        <v>6.7404989999999998E-2</v>
      </c>
      <c r="N4" t="s">
        <v>7</v>
      </c>
      <c r="O4" s="1">
        <v>3.5695909999999997E-2</v>
      </c>
      <c r="P4" s="2" t="s">
        <v>8</v>
      </c>
    </row>
    <row r="5" spans="1:16" x14ac:dyDescent="0.2">
      <c r="A5" t="s">
        <v>4</v>
      </c>
      <c r="B5" t="s">
        <v>7</v>
      </c>
      <c r="C5" s="1">
        <v>2.2863339999999999E-2</v>
      </c>
      <c r="D5" t="s">
        <v>7</v>
      </c>
      <c r="E5" s="1">
        <v>3.6487690000000003E-2</v>
      </c>
      <c r="G5" t="s">
        <v>7</v>
      </c>
      <c r="H5" s="1">
        <v>9.4372880000000006E-2</v>
      </c>
      <c r="I5" t="s">
        <v>7</v>
      </c>
      <c r="J5" s="1">
        <v>0.1081666</v>
      </c>
      <c r="K5" t="s">
        <v>7</v>
      </c>
      <c r="M5" s="1">
        <v>4.0810600000000002E-2</v>
      </c>
      <c r="N5" t="s">
        <v>7</v>
      </c>
      <c r="O5" s="1">
        <v>3.825448E-2</v>
      </c>
      <c r="P5" s="2" t="s">
        <v>8</v>
      </c>
    </row>
    <row r="6" spans="1:16" x14ac:dyDescent="0.2">
      <c r="B6" t="s">
        <v>7</v>
      </c>
      <c r="C6" s="1"/>
      <c r="D6" t="s">
        <v>7</v>
      </c>
      <c r="E6" s="1"/>
      <c r="G6" t="s">
        <v>7</v>
      </c>
      <c r="H6" s="1"/>
      <c r="I6" t="s">
        <v>7</v>
      </c>
      <c r="J6" s="1"/>
      <c r="K6" t="s">
        <v>7</v>
      </c>
      <c r="M6" s="1"/>
      <c r="N6" t="s">
        <v>7</v>
      </c>
      <c r="O6" s="1"/>
      <c r="P6" s="2" t="s">
        <v>8</v>
      </c>
    </row>
    <row r="7" spans="1:16" x14ac:dyDescent="0.2">
      <c r="B7" t="s">
        <v>7</v>
      </c>
      <c r="D7" t="s">
        <v>7</v>
      </c>
      <c r="G7" t="s">
        <v>7</v>
      </c>
      <c r="I7" t="s">
        <v>7</v>
      </c>
      <c r="K7" t="s">
        <v>7</v>
      </c>
      <c r="N7" t="s">
        <v>7</v>
      </c>
      <c r="P7" s="2" t="s">
        <v>8</v>
      </c>
    </row>
    <row r="8" spans="1:16" x14ac:dyDescent="0.2">
      <c r="B8" t="s">
        <v>7</v>
      </c>
      <c r="C8" t="s">
        <v>0</v>
      </c>
      <c r="D8" t="s">
        <v>7</v>
      </c>
      <c r="E8" t="s">
        <v>1</v>
      </c>
      <c r="G8" t="s">
        <v>7</v>
      </c>
      <c r="H8" t="s">
        <v>0</v>
      </c>
      <c r="I8" t="s">
        <v>7</v>
      </c>
      <c r="J8" t="s">
        <v>1</v>
      </c>
      <c r="K8" t="s">
        <v>7</v>
      </c>
      <c r="M8" t="s">
        <v>0</v>
      </c>
      <c r="N8" t="s">
        <v>7</v>
      </c>
      <c r="O8" t="s">
        <v>1</v>
      </c>
      <c r="P8" s="2" t="s">
        <v>8</v>
      </c>
    </row>
    <row r="9" spans="1:16" x14ac:dyDescent="0.2">
      <c r="A9" t="s">
        <v>2</v>
      </c>
      <c r="B9" t="s">
        <v>7</v>
      </c>
      <c r="C9" s="1">
        <v>3.7267260000000003E-2</v>
      </c>
      <c r="D9" t="s">
        <v>7</v>
      </c>
      <c r="E9" s="1">
        <v>4.334006E-2</v>
      </c>
      <c r="G9" t="s">
        <v>7</v>
      </c>
      <c r="H9" s="1">
        <v>0.11882239999999999</v>
      </c>
      <c r="I9" t="s">
        <v>7</v>
      </c>
      <c r="J9" s="1">
        <v>5.7497369999999999E-2</v>
      </c>
      <c r="K9" t="s">
        <v>7</v>
      </c>
      <c r="M9" s="1">
        <v>0.1342004</v>
      </c>
      <c r="N9" t="s">
        <v>7</v>
      </c>
      <c r="O9" s="1">
        <v>5.5225829999999997E-2</v>
      </c>
      <c r="P9" s="2" t="s">
        <v>8</v>
      </c>
    </row>
    <row r="10" spans="1:16" x14ac:dyDescent="0.2">
      <c r="A10" t="s">
        <v>3</v>
      </c>
      <c r="B10" t="s">
        <v>7</v>
      </c>
      <c r="C10" s="1">
        <v>8.0045740000000004E-2</v>
      </c>
      <c r="D10" t="s">
        <v>7</v>
      </c>
      <c r="E10" s="1">
        <v>6.8361259999999993E-2</v>
      </c>
      <c r="G10" t="s">
        <v>7</v>
      </c>
      <c r="H10" s="1">
        <v>0.33162180000000002</v>
      </c>
      <c r="I10" t="s">
        <v>7</v>
      </c>
      <c r="J10" s="1">
        <v>0.17023959999999999</v>
      </c>
      <c r="K10" t="s">
        <v>7</v>
      </c>
      <c r="M10" s="1">
        <v>0.19708239999999999</v>
      </c>
      <c r="N10" t="s">
        <v>7</v>
      </c>
      <c r="O10" s="1">
        <v>9.4699790000000006E-2</v>
      </c>
      <c r="P10" s="2" t="s">
        <v>8</v>
      </c>
    </row>
    <row r="11" spans="1:16" x14ac:dyDescent="0.2">
      <c r="A11" t="s">
        <v>4</v>
      </c>
      <c r="B11" t="s">
        <v>7</v>
      </c>
      <c r="C11" s="1">
        <v>2.5700830000000001E-2</v>
      </c>
      <c r="D11" t="s">
        <v>7</v>
      </c>
      <c r="E11" s="1">
        <v>2.9933040000000001E-2</v>
      </c>
      <c r="G11" t="s">
        <v>7</v>
      </c>
      <c r="H11" s="1">
        <v>0.1138728</v>
      </c>
      <c r="I11" t="s">
        <v>7</v>
      </c>
      <c r="J11" s="1">
        <v>8.9004929999999996E-2</v>
      </c>
      <c r="K11" t="s">
        <v>7</v>
      </c>
      <c r="M11" s="1">
        <v>8.1071760000000007E-2</v>
      </c>
      <c r="N11" t="s">
        <v>7</v>
      </c>
      <c r="O11" s="1">
        <v>6.5797149999999999E-2</v>
      </c>
      <c r="P11" s="2" t="s">
        <v>8</v>
      </c>
    </row>
    <row r="12" spans="1:16" x14ac:dyDescent="0.2">
      <c r="B12" t="s">
        <v>7</v>
      </c>
      <c r="D12" t="s">
        <v>7</v>
      </c>
      <c r="G12" t="s">
        <v>7</v>
      </c>
      <c r="I12" t="s">
        <v>7</v>
      </c>
      <c r="K12" t="s">
        <v>7</v>
      </c>
      <c r="N12" t="s">
        <v>7</v>
      </c>
      <c r="P12" s="2" t="s">
        <v>8</v>
      </c>
    </row>
    <row r="13" spans="1:16" x14ac:dyDescent="0.2">
      <c r="B13" t="s">
        <v>7</v>
      </c>
      <c r="D13" t="s">
        <v>7</v>
      </c>
      <c r="G13" t="s">
        <v>7</v>
      </c>
      <c r="I13" t="s">
        <v>7</v>
      </c>
      <c r="K13" t="s">
        <v>7</v>
      </c>
      <c r="N13" t="s">
        <v>7</v>
      </c>
      <c r="P13" s="2" t="s">
        <v>8</v>
      </c>
    </row>
    <row r="14" spans="1:16" x14ac:dyDescent="0.2">
      <c r="B14" t="s">
        <v>7</v>
      </c>
      <c r="C14" t="s">
        <v>0</v>
      </c>
      <c r="D14" t="s">
        <v>7</v>
      </c>
      <c r="E14" t="s">
        <v>1</v>
      </c>
      <c r="G14" t="s">
        <v>7</v>
      </c>
      <c r="H14" t="s">
        <v>0</v>
      </c>
      <c r="I14" t="s">
        <v>7</v>
      </c>
      <c r="J14" t="s">
        <v>1</v>
      </c>
      <c r="K14" t="s">
        <v>7</v>
      </c>
      <c r="M14" t="s">
        <v>0</v>
      </c>
      <c r="N14" t="s">
        <v>7</v>
      </c>
      <c r="O14" t="s">
        <v>1</v>
      </c>
      <c r="P14" s="2" t="s">
        <v>8</v>
      </c>
    </row>
    <row r="15" spans="1:16" x14ac:dyDescent="0.2">
      <c r="A15" t="s">
        <v>2</v>
      </c>
      <c r="B15" t="s">
        <v>7</v>
      </c>
      <c r="C15" s="1">
        <v>1.862026E-2</v>
      </c>
      <c r="D15" t="s">
        <v>7</v>
      </c>
      <c r="E15" s="1">
        <v>2.6104970000000002E-2</v>
      </c>
      <c r="G15" t="s">
        <v>7</v>
      </c>
      <c r="H15" s="1">
        <v>4.995906E-2</v>
      </c>
      <c r="I15" t="s">
        <v>7</v>
      </c>
      <c r="J15" s="1">
        <v>5.1821619999999999E-2</v>
      </c>
      <c r="K15" t="s">
        <v>7</v>
      </c>
      <c r="M15" s="1">
        <v>6.5633780000000003E-2</v>
      </c>
      <c r="N15" t="s">
        <v>7</v>
      </c>
      <c r="O15" s="1">
        <v>6.7557199999999998E-2</v>
      </c>
      <c r="P15" s="2" t="s">
        <v>8</v>
      </c>
    </row>
    <row r="16" spans="1:16" x14ac:dyDescent="0.2">
      <c r="A16" t="s">
        <v>3</v>
      </c>
      <c r="B16" t="s">
        <v>7</v>
      </c>
      <c r="C16" s="1">
        <v>7.1871470000000007E-2</v>
      </c>
      <c r="D16" t="s">
        <v>7</v>
      </c>
      <c r="E16" s="1">
        <v>7.3366890000000004E-2</v>
      </c>
      <c r="G16" t="s">
        <v>7</v>
      </c>
      <c r="H16" s="1">
        <v>0.39189380000000001</v>
      </c>
      <c r="I16" t="s">
        <v>7</v>
      </c>
      <c r="J16" s="1">
        <v>0.58928530000000001</v>
      </c>
      <c r="K16" t="s">
        <v>7</v>
      </c>
      <c r="M16" s="1">
        <v>0.120064</v>
      </c>
      <c r="N16" t="s">
        <v>7</v>
      </c>
      <c r="O16" s="1">
        <v>0.13212209999999999</v>
      </c>
      <c r="P16" s="2" t="s">
        <v>8</v>
      </c>
    </row>
    <row r="17" spans="1:16" x14ac:dyDescent="0.2">
      <c r="A17" t="s">
        <v>4</v>
      </c>
      <c r="B17" t="s">
        <v>7</v>
      </c>
      <c r="C17" s="1">
        <v>2.2154739999999999E-2</v>
      </c>
      <c r="D17" t="s">
        <v>7</v>
      </c>
      <c r="E17" s="1">
        <v>3.5434220000000002E-2</v>
      </c>
      <c r="G17" t="s">
        <v>7</v>
      </c>
      <c r="H17" s="1">
        <v>7.862661E-2</v>
      </c>
      <c r="I17" t="s">
        <v>7</v>
      </c>
      <c r="J17" s="1">
        <v>8.3136189999999999E-2</v>
      </c>
      <c r="K17" t="s">
        <v>7</v>
      </c>
      <c r="M17" s="1">
        <v>4.4656260000000003E-2</v>
      </c>
      <c r="N17" t="s">
        <v>7</v>
      </c>
      <c r="O17" s="1">
        <v>5.5712190000000002E-2</v>
      </c>
      <c r="P17" s="2" t="s">
        <v>8</v>
      </c>
    </row>
    <row r="23" spans="1:16" x14ac:dyDescent="0.2">
      <c r="B23" t="s">
        <v>7</v>
      </c>
      <c r="C23">
        <v>1973</v>
      </c>
      <c r="D23" t="s">
        <v>7</v>
      </c>
      <c r="G23" t="s">
        <v>7</v>
      </c>
      <c r="H23" t="s">
        <v>6</v>
      </c>
      <c r="I23" t="s">
        <v>7</v>
      </c>
      <c r="K23" t="s">
        <v>7</v>
      </c>
      <c r="M23" t="s">
        <v>5</v>
      </c>
      <c r="N23" t="s">
        <v>7</v>
      </c>
      <c r="P23" s="2" t="s">
        <v>8</v>
      </c>
    </row>
    <row r="24" spans="1:16" x14ac:dyDescent="0.2">
      <c r="B24" t="s">
        <v>7</v>
      </c>
      <c r="C24" t="s">
        <v>0</v>
      </c>
      <c r="D24" t="s">
        <v>7</v>
      </c>
      <c r="E24" t="s">
        <v>1</v>
      </c>
      <c r="G24" t="s">
        <v>7</v>
      </c>
      <c r="H24" t="s">
        <v>0</v>
      </c>
      <c r="I24" t="s">
        <v>7</v>
      </c>
      <c r="J24" t="s">
        <v>1</v>
      </c>
      <c r="K24" t="s">
        <v>7</v>
      </c>
      <c r="M24" t="s">
        <v>0</v>
      </c>
      <c r="N24" t="s">
        <v>7</v>
      </c>
      <c r="O24" t="s">
        <v>1</v>
      </c>
      <c r="P24" s="2" t="s">
        <v>8</v>
      </c>
    </row>
    <row r="25" spans="1:16" x14ac:dyDescent="0.2">
      <c r="A25" t="s">
        <v>2</v>
      </c>
      <c r="B25" t="s">
        <v>7</v>
      </c>
      <c r="C25" s="3">
        <f>C3*1000</f>
        <v>29.200289999999999</v>
      </c>
      <c r="D25" t="s">
        <v>7</v>
      </c>
      <c r="E25" s="3">
        <f>E3*1000</f>
        <v>21.719840000000001</v>
      </c>
      <c r="G25" t="s">
        <v>7</v>
      </c>
      <c r="H25" s="3">
        <f>H3*1000</f>
        <v>41.24239</v>
      </c>
      <c r="I25" t="s">
        <v>7</v>
      </c>
      <c r="J25" s="3">
        <f>J3*1000</f>
        <v>28.47064</v>
      </c>
      <c r="K25" t="s">
        <v>7</v>
      </c>
      <c r="M25" s="3">
        <f>M3*1000</f>
        <v>46.046240000000004</v>
      </c>
      <c r="N25" t="s">
        <v>7</v>
      </c>
      <c r="O25" s="3">
        <f>O3*1000</f>
        <v>31.860209999999999</v>
      </c>
      <c r="P25" s="2" t="s">
        <v>8</v>
      </c>
    </row>
    <row r="26" spans="1:16" x14ac:dyDescent="0.2">
      <c r="A26" t="s">
        <v>3</v>
      </c>
      <c r="B26" t="s">
        <v>7</v>
      </c>
      <c r="C26" s="3">
        <f t="shared" ref="C26:E27" si="0">C4*1000</f>
        <v>101.8432</v>
      </c>
      <c r="D26" t="s">
        <v>7</v>
      </c>
      <c r="E26" s="3">
        <f t="shared" si="0"/>
        <v>63.503580000000007</v>
      </c>
      <c r="G26" t="s">
        <v>7</v>
      </c>
      <c r="H26" s="3">
        <f t="shared" ref="H26" si="1">H4*1000</f>
        <v>66.311949999999996</v>
      </c>
      <c r="I26" t="s">
        <v>7</v>
      </c>
      <c r="J26" s="3">
        <f t="shared" ref="J26" si="2">J4*1000</f>
        <v>80.578060000000008</v>
      </c>
      <c r="K26" t="s">
        <v>7</v>
      </c>
      <c r="M26" s="3">
        <f t="shared" ref="M26" si="3">M4*1000</f>
        <v>67.404989999999998</v>
      </c>
      <c r="N26" t="s">
        <v>7</v>
      </c>
      <c r="O26" s="3">
        <f t="shared" ref="O26" si="4">O4*1000</f>
        <v>35.695909999999998</v>
      </c>
      <c r="P26" s="2" t="s">
        <v>8</v>
      </c>
    </row>
    <row r="27" spans="1:16" x14ac:dyDescent="0.2">
      <c r="A27" t="s">
        <v>9</v>
      </c>
      <c r="B27" t="s">
        <v>7</v>
      </c>
      <c r="C27" s="3">
        <f t="shared" si="0"/>
        <v>22.863340000000001</v>
      </c>
      <c r="D27" t="s">
        <v>7</v>
      </c>
      <c r="E27" s="3">
        <f t="shared" si="0"/>
        <v>36.487690000000001</v>
      </c>
      <c r="G27" t="s">
        <v>7</v>
      </c>
      <c r="H27" s="3">
        <f t="shared" ref="H27" si="5">H5*1000</f>
        <v>94.372880000000009</v>
      </c>
      <c r="I27" t="s">
        <v>7</v>
      </c>
      <c r="J27" s="3">
        <f t="shared" ref="J27" si="6">J5*1000</f>
        <v>108.1666</v>
      </c>
      <c r="K27" t="s">
        <v>7</v>
      </c>
      <c r="M27" s="3">
        <f t="shared" ref="M27" si="7">M5*1000</f>
        <v>40.810600000000001</v>
      </c>
      <c r="N27" t="s">
        <v>7</v>
      </c>
      <c r="O27" s="3">
        <f t="shared" ref="O27" si="8">O5*1000</f>
        <v>38.254480000000001</v>
      </c>
      <c r="P27" s="2" t="s">
        <v>8</v>
      </c>
    </row>
    <row r="28" spans="1:16" x14ac:dyDescent="0.2">
      <c r="B28" t="s">
        <v>7</v>
      </c>
      <c r="C28" s="1"/>
      <c r="D28" t="s">
        <v>7</v>
      </c>
      <c r="E28" s="1"/>
      <c r="G28" t="s">
        <v>7</v>
      </c>
      <c r="H28" s="1"/>
      <c r="I28" t="s">
        <v>7</v>
      </c>
      <c r="J28" s="1"/>
      <c r="K28" t="s">
        <v>7</v>
      </c>
      <c r="M28" s="1"/>
      <c r="N28" t="s">
        <v>7</v>
      </c>
      <c r="O28" s="1"/>
      <c r="P28" s="2" t="s">
        <v>8</v>
      </c>
    </row>
    <row r="29" spans="1:16" x14ac:dyDescent="0.2">
      <c r="B29" t="s">
        <v>7</v>
      </c>
      <c r="D29" t="s">
        <v>7</v>
      </c>
      <c r="G29" t="s">
        <v>7</v>
      </c>
      <c r="I29" t="s">
        <v>7</v>
      </c>
      <c r="K29" t="s">
        <v>7</v>
      </c>
      <c r="N29" t="s">
        <v>7</v>
      </c>
      <c r="P29" s="2" t="s">
        <v>8</v>
      </c>
    </row>
    <row r="30" spans="1:16" x14ac:dyDescent="0.2">
      <c r="B30" t="s">
        <v>7</v>
      </c>
      <c r="C30" t="s">
        <v>0</v>
      </c>
      <c r="D30" t="s">
        <v>7</v>
      </c>
      <c r="E30" t="s">
        <v>1</v>
      </c>
      <c r="G30" t="s">
        <v>7</v>
      </c>
      <c r="H30" t="s">
        <v>0</v>
      </c>
      <c r="I30" t="s">
        <v>7</v>
      </c>
      <c r="J30" t="s">
        <v>1</v>
      </c>
      <c r="K30" t="s">
        <v>7</v>
      </c>
      <c r="M30" t="s">
        <v>0</v>
      </c>
      <c r="N30" t="s">
        <v>7</v>
      </c>
      <c r="O30" t="s">
        <v>1</v>
      </c>
      <c r="P30" s="2" t="s">
        <v>8</v>
      </c>
    </row>
    <row r="31" spans="1:16" x14ac:dyDescent="0.2">
      <c r="A31" t="s">
        <v>2</v>
      </c>
      <c r="B31" t="s">
        <v>7</v>
      </c>
      <c r="C31" s="3">
        <f>C9*1000</f>
        <v>37.26726</v>
      </c>
      <c r="D31" t="s">
        <v>7</v>
      </c>
      <c r="E31" s="3">
        <f>E9*1000</f>
        <v>43.340060000000001</v>
      </c>
      <c r="G31" t="s">
        <v>7</v>
      </c>
      <c r="H31" s="3">
        <f>H9*1000</f>
        <v>118.82239999999999</v>
      </c>
      <c r="I31" t="s">
        <v>7</v>
      </c>
      <c r="J31" s="3">
        <f>J9*1000</f>
        <v>57.497369999999997</v>
      </c>
      <c r="K31" t="s">
        <v>7</v>
      </c>
      <c r="M31" s="3">
        <f>M9*1000</f>
        <v>134.2004</v>
      </c>
      <c r="N31" t="s">
        <v>7</v>
      </c>
      <c r="O31" s="3">
        <f>O9*1000</f>
        <v>55.225829999999995</v>
      </c>
      <c r="P31" s="2" t="s">
        <v>8</v>
      </c>
    </row>
    <row r="32" spans="1:16" x14ac:dyDescent="0.2">
      <c r="A32" t="s">
        <v>3</v>
      </c>
      <c r="B32" t="s">
        <v>7</v>
      </c>
      <c r="C32" s="3">
        <f t="shared" ref="C32:E32" si="9">C10*1000</f>
        <v>80.045740000000009</v>
      </c>
      <c r="D32" t="s">
        <v>7</v>
      </c>
      <c r="E32" s="3">
        <f t="shared" ref="E32:G32" si="10">E10*1000</f>
        <v>68.361259999999987</v>
      </c>
      <c r="G32" t="s">
        <v>7</v>
      </c>
      <c r="H32" s="3">
        <f t="shared" ref="H32:H33" si="11">H10*1000</f>
        <v>331.62180000000001</v>
      </c>
      <c r="I32" t="s">
        <v>7</v>
      </c>
      <c r="J32" s="3">
        <f t="shared" ref="J32:J33" si="12">J10*1000</f>
        <v>170.2396</v>
      </c>
      <c r="K32" t="s">
        <v>7</v>
      </c>
      <c r="M32" s="3">
        <f t="shared" ref="M32:M33" si="13">M10*1000</f>
        <v>197.08239999999998</v>
      </c>
      <c r="N32" t="s">
        <v>7</v>
      </c>
      <c r="O32" s="3">
        <f t="shared" ref="O32:O33" si="14">O10*1000</f>
        <v>94.699790000000007</v>
      </c>
      <c r="P32" s="2" t="s">
        <v>8</v>
      </c>
    </row>
    <row r="33" spans="1:16" x14ac:dyDescent="0.2">
      <c r="A33" t="s">
        <v>9</v>
      </c>
      <c r="B33" t="s">
        <v>7</v>
      </c>
      <c r="C33" s="3">
        <f t="shared" ref="C33:E33" si="15">C11*1000</f>
        <v>25.70083</v>
      </c>
      <c r="D33" t="s">
        <v>7</v>
      </c>
      <c r="E33" s="3">
        <f t="shared" ref="E33:G33" si="16">E11*1000</f>
        <v>29.933040000000002</v>
      </c>
      <c r="G33" t="s">
        <v>7</v>
      </c>
      <c r="H33" s="3">
        <f t="shared" si="11"/>
        <v>113.8728</v>
      </c>
      <c r="I33" t="s">
        <v>7</v>
      </c>
      <c r="J33" s="3">
        <f t="shared" si="12"/>
        <v>89.004930000000002</v>
      </c>
      <c r="K33" t="s">
        <v>7</v>
      </c>
      <c r="M33" s="3">
        <f t="shared" si="13"/>
        <v>81.071760000000012</v>
      </c>
      <c r="N33" t="s">
        <v>7</v>
      </c>
      <c r="O33" s="3">
        <f t="shared" si="14"/>
        <v>65.797150000000002</v>
      </c>
      <c r="P33" s="2" t="s">
        <v>8</v>
      </c>
    </row>
    <row r="34" spans="1:16" x14ac:dyDescent="0.2">
      <c r="B34" t="s">
        <v>7</v>
      </c>
      <c r="D34" t="s">
        <v>7</v>
      </c>
      <c r="G34" t="s">
        <v>7</v>
      </c>
      <c r="I34" t="s">
        <v>7</v>
      </c>
      <c r="K34" t="s">
        <v>7</v>
      </c>
      <c r="N34" t="s">
        <v>7</v>
      </c>
      <c r="P34" s="2" t="s">
        <v>8</v>
      </c>
    </row>
    <row r="35" spans="1:16" x14ac:dyDescent="0.2">
      <c r="B35" t="s">
        <v>7</v>
      </c>
      <c r="D35" t="s">
        <v>7</v>
      </c>
      <c r="G35" t="s">
        <v>7</v>
      </c>
      <c r="I35" t="s">
        <v>7</v>
      </c>
      <c r="K35" t="s">
        <v>7</v>
      </c>
      <c r="N35" t="s">
        <v>7</v>
      </c>
      <c r="P35" s="2" t="s">
        <v>8</v>
      </c>
    </row>
    <row r="36" spans="1:16" x14ac:dyDescent="0.2">
      <c r="B36" t="s">
        <v>7</v>
      </c>
      <c r="C36" t="s">
        <v>0</v>
      </c>
      <c r="D36" t="s">
        <v>7</v>
      </c>
      <c r="E36" t="s">
        <v>1</v>
      </c>
      <c r="G36" t="s">
        <v>7</v>
      </c>
      <c r="H36" t="s">
        <v>0</v>
      </c>
      <c r="I36" t="s">
        <v>7</v>
      </c>
      <c r="J36" t="s">
        <v>1</v>
      </c>
      <c r="K36" t="s">
        <v>7</v>
      </c>
      <c r="M36" t="s">
        <v>0</v>
      </c>
      <c r="N36" t="s">
        <v>7</v>
      </c>
      <c r="O36" t="s">
        <v>1</v>
      </c>
      <c r="P36" s="2" t="s">
        <v>8</v>
      </c>
    </row>
    <row r="37" spans="1:16" x14ac:dyDescent="0.2">
      <c r="A37" t="s">
        <v>2</v>
      </c>
      <c r="B37" t="s">
        <v>7</v>
      </c>
      <c r="C37" s="3">
        <f>C15*1000</f>
        <v>18.620259999999998</v>
      </c>
      <c r="D37" t="s">
        <v>7</v>
      </c>
      <c r="E37" s="3">
        <f>E15*1000</f>
        <v>26.104970000000002</v>
      </c>
      <c r="G37" t="s">
        <v>7</v>
      </c>
      <c r="H37" s="3">
        <f>H15*1000</f>
        <v>49.959060000000001</v>
      </c>
      <c r="I37" t="s">
        <v>7</v>
      </c>
      <c r="J37" s="3">
        <f>J15*1000</f>
        <v>51.821619999999996</v>
      </c>
      <c r="K37" t="s">
        <v>7</v>
      </c>
      <c r="M37" s="3">
        <f>M15*1000</f>
        <v>65.633780000000002</v>
      </c>
      <c r="N37" t="s">
        <v>7</v>
      </c>
      <c r="O37" s="3">
        <f>O15*1000</f>
        <v>67.557199999999995</v>
      </c>
      <c r="P37" s="2" t="s">
        <v>8</v>
      </c>
    </row>
    <row r="38" spans="1:16" x14ac:dyDescent="0.2">
      <c r="A38" t="s">
        <v>3</v>
      </c>
      <c r="B38" t="s">
        <v>7</v>
      </c>
      <c r="C38" s="3">
        <f t="shared" ref="C38:E38" si="17">C16*1000</f>
        <v>71.871470000000002</v>
      </c>
      <c r="D38" t="s">
        <v>7</v>
      </c>
      <c r="E38" s="3">
        <f t="shared" ref="E38:G38" si="18">E16*1000</f>
        <v>73.366889999999998</v>
      </c>
      <c r="G38" t="s">
        <v>7</v>
      </c>
      <c r="H38" s="3">
        <f t="shared" ref="H38:H39" si="19">H16*1000</f>
        <v>391.8938</v>
      </c>
      <c r="I38" t="s">
        <v>7</v>
      </c>
      <c r="J38" s="3">
        <f t="shared" ref="J38:J39" si="20">J16*1000</f>
        <v>589.28530000000001</v>
      </c>
      <c r="K38" t="s">
        <v>7</v>
      </c>
      <c r="M38" s="3">
        <f t="shared" ref="M38:M39" si="21">M16*1000</f>
        <v>120.06400000000001</v>
      </c>
      <c r="N38" t="s">
        <v>7</v>
      </c>
      <c r="O38" s="3">
        <f t="shared" ref="O38:O39" si="22">O16*1000</f>
        <v>132.12209999999999</v>
      </c>
      <c r="P38" s="2" t="s">
        <v>8</v>
      </c>
    </row>
    <row r="39" spans="1:16" x14ac:dyDescent="0.2">
      <c r="A39" t="s">
        <v>9</v>
      </c>
      <c r="B39" t="s">
        <v>7</v>
      </c>
      <c r="C39" s="3">
        <f t="shared" ref="C39:E39" si="23">C17*1000</f>
        <v>22.15474</v>
      </c>
      <c r="D39" t="s">
        <v>7</v>
      </c>
      <c r="E39" s="3">
        <f t="shared" ref="E39:G39" si="24">E17*1000</f>
        <v>35.434220000000003</v>
      </c>
      <c r="G39" t="s">
        <v>7</v>
      </c>
      <c r="H39" s="3">
        <f t="shared" si="19"/>
        <v>78.626609999999999</v>
      </c>
      <c r="I39" t="s">
        <v>7</v>
      </c>
      <c r="J39" s="3">
        <f t="shared" si="20"/>
        <v>83.136189999999999</v>
      </c>
      <c r="K39" t="s">
        <v>7</v>
      </c>
      <c r="M39" s="3">
        <f t="shared" si="21"/>
        <v>44.656260000000003</v>
      </c>
      <c r="N39" t="s">
        <v>7</v>
      </c>
      <c r="O39" s="3">
        <f t="shared" si="22"/>
        <v>55.71219</v>
      </c>
      <c r="P3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Korolev</dc:creator>
  <cp:lastModifiedBy>Ivan Korolev</cp:lastModifiedBy>
  <dcterms:created xsi:type="dcterms:W3CDTF">2025-08-09T00:26:10Z</dcterms:created>
  <dcterms:modified xsi:type="dcterms:W3CDTF">2025-08-28T00:57:50Z</dcterms:modified>
</cp:coreProperties>
</file>